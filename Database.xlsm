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PA Project\"/>
    </mc:Choice>
  </mc:AlternateContent>
  <xr:revisionPtr revIDLastSave="0" documentId="13_ncr:1_{32E2674B-4898-47C1-9858-AFE55D87217E}" xr6:coauthVersionLast="47" xr6:coauthVersionMax="47" xr10:uidLastSave="{00000000-0000-0000-0000-000000000000}"/>
  <bookViews>
    <workbookView xWindow="-108" yWindow="-108" windowWidth="23256" windowHeight="12576" activeTab="1" xr2:uid="{1190B5A6-41AF-4EFA-BB4A-5BA97DE680DA}"/>
  </bookViews>
  <sheets>
    <sheet name="Salary Structure" sheetId="1" r:id="rId1"/>
    <sheet name="PaySlip" sheetId="4" r:id="rId2"/>
  </sheets>
  <definedNames>
    <definedName name="_xlnm.Print_Area" localSheetId="1">PaySlip!$A$1:$E$44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4" l="1"/>
  <c r="D8" i="4"/>
  <c r="E16" i="4"/>
  <c r="E15" i="4"/>
  <c r="D26" i="4"/>
  <c r="D25" i="4"/>
  <c r="C6" i="4"/>
  <c r="E6" i="4" s="1"/>
  <c r="B9" i="4"/>
  <c r="B8" i="4"/>
  <c r="D6" i="4"/>
  <c r="B6" i="4"/>
  <c r="D33" i="4" l="1"/>
  <c r="AF8" i="1"/>
  <c r="AC8" i="1"/>
  <c r="AB8" i="1"/>
  <c r="X8" i="1"/>
  <c r="J8" i="1"/>
  <c r="Q8" i="1" s="1"/>
  <c r="E8" i="1"/>
  <c r="T8" i="1" s="1"/>
  <c r="AF7" i="1"/>
  <c r="B10" i="4" s="1"/>
  <c r="X7" i="1"/>
  <c r="P7" i="1"/>
  <c r="D16" i="4" s="1"/>
  <c r="O7" i="1"/>
  <c r="D15" i="4" s="1"/>
  <c r="E7" i="1"/>
  <c r="T7" i="1" s="1"/>
  <c r="D19" i="4" s="1"/>
  <c r="AF6" i="1"/>
  <c r="X6" i="1"/>
  <c r="P6" i="1"/>
  <c r="O6" i="1"/>
  <c r="E6" i="1"/>
  <c r="F6" i="1" s="1"/>
  <c r="AF5" i="1"/>
  <c r="X5" i="1"/>
  <c r="P5" i="1"/>
  <c r="O5" i="1"/>
  <c r="E5" i="1"/>
  <c r="J5" i="1" s="1"/>
  <c r="Q5" i="1" s="1"/>
  <c r="AF4" i="1"/>
  <c r="X4" i="1"/>
  <c r="Q4" i="1"/>
  <c r="P4" i="1"/>
  <c r="O4" i="1"/>
  <c r="J4" i="1"/>
  <c r="E4" i="1"/>
  <c r="T4" i="1" s="1"/>
  <c r="P8" i="1" l="1"/>
  <c r="J6" i="1"/>
  <c r="Q6" i="1" s="1"/>
  <c r="M6" i="1"/>
  <c r="G6" i="1"/>
  <c r="N6" i="1" s="1"/>
  <c r="T5" i="1"/>
  <c r="F7" i="1"/>
  <c r="E13" i="4" s="1"/>
  <c r="K6" i="1"/>
  <c r="R6" i="1" s="1"/>
  <c r="O8" i="1"/>
  <c r="F4" i="1"/>
  <c r="T6" i="1"/>
  <c r="J7" i="1"/>
  <c r="F8" i="1"/>
  <c r="F5" i="1"/>
  <c r="Q7" i="1" l="1"/>
  <c r="D17" i="4" s="1"/>
  <c r="E17" i="4"/>
  <c r="G5" i="1"/>
  <c r="N5" i="1" s="1"/>
  <c r="M5" i="1"/>
  <c r="K5" i="1"/>
  <c r="R5" i="1" s="1"/>
  <c r="M7" i="1"/>
  <c r="D13" i="4" s="1"/>
  <c r="G7" i="1"/>
  <c r="G4" i="1"/>
  <c r="M4" i="1"/>
  <c r="L6" i="1"/>
  <c r="S6" i="1" s="1"/>
  <c r="U6" i="1" s="1"/>
  <c r="Y6" i="1" s="1"/>
  <c r="G8" i="1"/>
  <c r="N8" i="1" s="1"/>
  <c r="M8" i="1"/>
  <c r="N7" i="1" l="1"/>
  <c r="D14" i="4" s="1"/>
  <c r="E14" i="4"/>
  <c r="L8" i="1"/>
  <c r="S8" i="1" s="1"/>
  <c r="U8" i="1" s="1"/>
  <c r="Y8" i="1" s="1"/>
  <c r="K7" i="1"/>
  <c r="L5" i="1"/>
  <c r="S5" i="1" s="1"/>
  <c r="U5" i="1" s="1"/>
  <c r="Y5" i="1" s="1"/>
  <c r="N4" i="1"/>
  <c r="K4" i="1"/>
  <c r="K8" i="1"/>
  <c r="R8" i="1" s="1"/>
  <c r="R7" i="1" l="1"/>
  <c r="D18" i="4" s="1"/>
  <c r="D22" i="4" s="1"/>
  <c r="D35" i="4" s="1"/>
  <c r="E18" i="4"/>
  <c r="E35" i="4" s="1"/>
  <c r="L7" i="1"/>
  <c r="S7" i="1" s="1"/>
  <c r="U7" i="1" s="1"/>
  <c r="Y7" i="1" s="1"/>
  <c r="R4" i="1"/>
  <c r="L4" i="1"/>
  <c r="E22" i="4" l="1"/>
  <c r="S4" i="1"/>
  <c r="U4" i="1" l="1"/>
  <c r="Y4" i="1" l="1"/>
</calcChain>
</file>

<file path=xl/sharedStrings.xml><?xml version="1.0" encoding="utf-8"?>
<sst xmlns="http://schemas.openxmlformats.org/spreadsheetml/2006/main" count="124" uniqueCount="99">
  <si>
    <t>Salary structure</t>
  </si>
  <si>
    <t>For the Month of</t>
  </si>
  <si>
    <t>Emp Code</t>
  </si>
  <si>
    <t>Name of employee</t>
  </si>
  <si>
    <t>PAN</t>
  </si>
  <si>
    <t>Designation</t>
  </si>
  <si>
    <t>Monthly Salary (CTC) Ex Incentive</t>
  </si>
  <si>
    <t>Basic (CTC)</t>
  </si>
  <si>
    <t>House Rent Allowance (CTC)</t>
  </si>
  <si>
    <t>Conveyance Allowance (CTC)</t>
  </si>
  <si>
    <t>Medical Reimburse-ment (CTC)</t>
  </si>
  <si>
    <t>LTA - Leave Travel Allowance (CTC)</t>
  </si>
  <si>
    <t>Other Allowance (CTC)</t>
  </si>
  <si>
    <t>Monthly Total as per CTC</t>
  </si>
  <si>
    <t>Basic (Actual)</t>
  </si>
  <si>
    <t>House Rent Allowance (Actual)</t>
  </si>
  <si>
    <t>Conveyance Allowance (Actual)</t>
  </si>
  <si>
    <t>Medical Reimburse-ment (Actual)</t>
  </si>
  <si>
    <t>LTA - Leave Travel Allowance (Actual)</t>
  </si>
  <si>
    <t>Other Allowance (Actual)</t>
  </si>
  <si>
    <t>Monthly Total as per Actual</t>
  </si>
  <si>
    <t>Incentive (Actual)</t>
  </si>
  <si>
    <t>Monthly Including Incentive</t>
  </si>
  <si>
    <t>TDS</t>
  </si>
  <si>
    <t>Other Deductins</t>
  </si>
  <si>
    <t>Total Deductions</t>
  </si>
  <si>
    <t>Net Payment after deductions</t>
  </si>
  <si>
    <t>Date of Joining</t>
  </si>
  <si>
    <t>Date of Leaving</t>
  </si>
  <si>
    <t>Actual No of W Days</t>
  </si>
  <si>
    <t>No of W days in Month</t>
  </si>
  <si>
    <t>Leaves Entitlement</t>
  </si>
  <si>
    <t>Leaves Taken</t>
  </si>
  <si>
    <t>Balance Leaves available</t>
  </si>
  <si>
    <t>EMP001</t>
  </si>
  <si>
    <t>Ramesh Singh</t>
  </si>
  <si>
    <t>DFGPS6789C</t>
  </si>
  <si>
    <t>CEO</t>
  </si>
  <si>
    <t>EMP002</t>
  </si>
  <si>
    <t>Bhakti Joshi</t>
  </si>
  <si>
    <t>ASEPJ5678F</t>
  </si>
  <si>
    <t>CFO</t>
  </si>
  <si>
    <t>EMP003</t>
  </si>
  <si>
    <t>Guru Sinha</t>
  </si>
  <si>
    <t>WERPS1234D</t>
  </si>
  <si>
    <t>Business Head</t>
  </si>
  <si>
    <t>EMP004</t>
  </si>
  <si>
    <t>Vikash Yadav</t>
  </si>
  <si>
    <t>FGHPY6785R</t>
  </si>
  <si>
    <t>Manager</t>
  </si>
  <si>
    <t>EMP005</t>
  </si>
  <si>
    <t>Manish Kumar</t>
  </si>
  <si>
    <t>GHTPK3456D</t>
  </si>
  <si>
    <t>Sales Head</t>
  </si>
  <si>
    <t>PAYSLIP</t>
  </si>
  <si>
    <t>EMPLOYEE INFORMATION</t>
  </si>
  <si>
    <t>Full Name</t>
  </si>
  <si>
    <t>EARNINGS</t>
  </si>
  <si>
    <t>HOURS</t>
  </si>
  <si>
    <t>RATE</t>
  </si>
  <si>
    <t>CURRENT</t>
  </si>
  <si>
    <t>GROSS PAY</t>
  </si>
  <si>
    <t>DEDUCTIONS</t>
  </si>
  <si>
    <t>TOTAL DEDUCTIONS</t>
  </si>
  <si>
    <t>NET PAY</t>
  </si>
  <si>
    <t>If you have any questions about this payslip, please contact:</t>
  </si>
  <si>
    <t>EMPLOYEE ID</t>
  </si>
  <si>
    <t>PAN NUMBER</t>
  </si>
  <si>
    <t>DESIGNATION</t>
  </si>
  <si>
    <t>LEAVE DETAILS</t>
  </si>
  <si>
    <t>PAYMENT METHOD</t>
  </si>
  <si>
    <t>Entitlement</t>
  </si>
  <si>
    <t>MONTH</t>
  </si>
  <si>
    <t>Basic</t>
  </si>
  <si>
    <t>House Rent Allowance</t>
  </si>
  <si>
    <t>Other Deductions</t>
  </si>
  <si>
    <t>Medical Reimbursement</t>
  </si>
  <si>
    <t>LTA - Leave Travel Allowance</t>
  </si>
  <si>
    <t>Other Allowance</t>
  </si>
  <si>
    <t>Incentive</t>
  </si>
  <si>
    <t>[Ankit Seth, 9232347245, iam4nkit@gmail.com]</t>
  </si>
  <si>
    <t>DATE OF PAYMENT</t>
  </si>
  <si>
    <t>Used</t>
  </si>
  <si>
    <t>Remaining</t>
  </si>
  <si>
    <t>Conveyence Allowance</t>
  </si>
  <si>
    <t>X</t>
  </si>
  <si>
    <t>AUTHORISED BY</t>
  </si>
  <si>
    <t>Beach Road, Vizag, India.</t>
  </si>
  <si>
    <t>Phone: 8746247534, Email: user@kluniversity.in</t>
  </si>
  <si>
    <t>Check</t>
  </si>
  <si>
    <t>June 20</t>
  </si>
  <si>
    <t>CTC</t>
  </si>
  <si>
    <t>EMAIL ID</t>
  </si>
  <si>
    <t>Email ID</t>
  </si>
  <si>
    <t>2000031281@kluniversity.in</t>
  </si>
  <si>
    <t>2000030349@kluniversity.in</t>
  </si>
  <si>
    <t>prasanthgskp@gmail.com</t>
  </si>
  <si>
    <t>ABC Industries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</si>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</sst>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₹&quot;* #,##0.00_);_(&quot;₹&quot;* \(#,##0.00\);_(&quot;₹&quot;* &quot;-&quot;??_);_(@_)"/>
    <numFmt numFmtId="165" formatCode="_(* #,##0.00_);_(* \(#,##0.00\);_(* &quot;-&quot;??_);_(@_)"/>
    <numFmt numFmtId="166" formatCode="_ * #,##0_ ;_ * \-#,##0_ ;_ * &quot;-&quot;??_ ;_ @_ "/>
    <numFmt numFmtId="167" formatCode="[$-409]d\-mmm\-yy;@"/>
    <numFmt numFmtId="168" formatCode="0;\-0;;@"/>
    <numFmt numFmtId="169" formatCode="#,##0.00;\-#,##0.00;&quot;-&quot;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sz val="11"/>
      <color rgb="FF000000"/>
      <name val="Book Antiqua"/>
      <family val="1"/>
    </font>
    <font>
      <sz val="11"/>
      <name val="Book Antiqua"/>
      <family val="1"/>
    </font>
    <font>
      <u/>
      <sz val="11"/>
      <color theme="10"/>
      <name val="Calibri"/>
      <family val="2"/>
      <scheme val="minor"/>
    </font>
    <font>
      <sz val="24"/>
      <name val="Calibri"/>
      <family val="2"/>
      <scheme val="minor"/>
    </font>
    <font>
      <b/>
      <sz val="24"/>
      <name val="Calibri"/>
      <family val="2"/>
      <scheme val="minor"/>
    </font>
    <font>
      <b/>
      <sz val="24"/>
      <color rgb="FF1155CC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sz val="9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9"/>
      <color rgb="FF0000FF"/>
      <name val="Calibri"/>
      <family val="2"/>
      <scheme val="minor"/>
    </font>
    <font>
      <sz val="9"/>
      <color rgb="FF999999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"/>
      <color rgb="FFFFFFFF"/>
      <name val="Calibri"/>
      <family val="2"/>
      <scheme val="minor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9" tint="-0.249977111117893"/>
      <name val="Bahnschrift SemiBold Condensed"/>
      <family val="2"/>
    </font>
    <font>
      <sz val="9"/>
      <color theme="9" tint="-0.249977111117893"/>
      <name val="Calibri"/>
      <family val="2"/>
      <scheme val="minor"/>
    </font>
    <font>
      <b/>
      <sz val="36"/>
      <color theme="9" tint="-0.249977111117893"/>
      <name val="Candar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rgb="FF6FA8DC"/>
      </patternFill>
    </fill>
    <fill>
      <patternFill patternType="solid">
        <fgColor theme="0" tint="-4.9989318521683403E-2"/>
        <bgColor rgb="FFF3F3F3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8" fillId="0" borderId="0" applyNumberFormat="0" applyFill="0" applyBorder="0" applyAlignment="0" applyProtection="0"/>
    <xf numFmtId="0" fontId="26" fillId="0" borderId="0"/>
    <xf numFmtId="0" fontId="1" fillId="0" borderId="0"/>
    <xf numFmtId="164" fontId="1" fillId="0" borderId="0" applyFont="0" applyFill="0" applyBorder="0" applyAlignment="0" applyProtection="0"/>
  </cellStyleXfs>
  <cellXfs count="84">
    <xf numFmtId="0" fontId="0" fillId="0" borderId="0" xfId="0"/>
    <xf numFmtId="0" fontId="4" fillId="0" borderId="0" xfId="0" applyFont="1"/>
    <xf numFmtId="0" fontId="5" fillId="0" borderId="0" xfId="0" applyFont="1"/>
    <xf numFmtId="17" fontId="4" fillId="0" borderId="0" xfId="0" quotePrefix="1" applyNumberFormat="1" applyFont="1"/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166" fontId="6" fillId="0" borderId="3" xfId="1" applyNumberFormat="1" applyFont="1" applyBorder="1" applyAlignment="1">
      <alignment horizontal="right" vertical="center"/>
    </xf>
    <xf numFmtId="166" fontId="7" fillId="0" borderId="3" xfId="1" applyNumberFormat="1" applyFont="1" applyBorder="1"/>
    <xf numFmtId="166" fontId="5" fillId="0" borderId="3" xfId="1" applyNumberFormat="1" applyFont="1" applyBorder="1"/>
    <xf numFmtId="167" fontId="6" fillId="0" borderId="3" xfId="1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4" fillId="0" borderId="0" xfId="0" applyFont="1" applyAlignment="1">
      <alignment wrapText="1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vertical="center" wrapText="1"/>
    </xf>
    <xf numFmtId="0" fontId="17" fillId="9" borderId="0" xfId="0" applyFont="1" applyFill="1" applyAlignment="1">
      <alignment horizontal="left" vertical="center"/>
    </xf>
    <xf numFmtId="0" fontId="21" fillId="0" borderId="0" xfId="0" applyFont="1" applyAlignment="1">
      <alignment vertical="center" wrapText="1"/>
    </xf>
    <xf numFmtId="168" fontId="13" fillId="0" borderId="4" xfId="0" applyNumberFormat="1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169" fontId="13" fillId="0" borderId="4" xfId="0" applyNumberFormat="1" applyFont="1" applyBorder="1" applyAlignment="1">
      <alignment horizontal="right" vertical="center" wrapText="1"/>
    </xf>
    <xf numFmtId="169" fontId="13" fillId="10" borderId="4" xfId="0" applyNumberFormat="1" applyFont="1" applyFill="1" applyBorder="1" applyAlignment="1">
      <alignment horizontal="right" vertical="center" wrapText="1"/>
    </xf>
    <xf numFmtId="0" fontId="19" fillId="0" borderId="4" xfId="0" applyFont="1" applyBorder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4" fontId="13" fillId="0" borderId="0" xfId="0" applyNumberFormat="1" applyFont="1" applyAlignment="1">
      <alignment horizontal="right" vertical="center" wrapText="1"/>
    </xf>
    <xf numFmtId="0" fontId="2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/>
    <xf numFmtId="0" fontId="13" fillId="0" borderId="0" xfId="0" applyFont="1" applyAlignment="1">
      <alignment vertical="top"/>
    </xf>
    <xf numFmtId="0" fontId="22" fillId="0" borderId="0" xfId="9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right" vertical="center"/>
    </xf>
    <xf numFmtId="0" fontId="25" fillId="11" borderId="0" xfId="0" applyFont="1" applyFill="1" applyAlignment="1" applyProtection="1">
      <alignment vertical="center"/>
      <protection locked="0"/>
    </xf>
    <xf numFmtId="0" fontId="13" fillId="11" borderId="0" xfId="0" applyFont="1" applyFill="1" applyAlignment="1">
      <alignment horizontal="left" vertical="center" wrapText="1"/>
    </xf>
    <xf numFmtId="0" fontId="20" fillId="11" borderId="0" xfId="0" applyFont="1" applyFill="1" applyAlignment="1">
      <alignment wrapText="1"/>
    </xf>
    <xf numFmtId="168" fontId="21" fillId="0" borderId="4" xfId="0" applyNumberFormat="1" applyFont="1" applyBorder="1" applyAlignment="1">
      <alignment horizontal="left" vertical="center" wrapText="1"/>
    </xf>
    <xf numFmtId="0" fontId="21" fillId="0" borderId="4" xfId="0" applyFont="1" applyBorder="1" applyAlignment="1">
      <alignment horizontal="left" vertical="center" wrapText="1"/>
    </xf>
    <xf numFmtId="2" fontId="21" fillId="0" borderId="4" xfId="0" applyNumberFormat="1" applyFont="1" applyBorder="1" applyAlignment="1">
      <alignment horizontal="left" vertical="center" wrapText="1"/>
    </xf>
    <xf numFmtId="0" fontId="25" fillId="11" borderId="0" xfId="0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/>
    </xf>
    <xf numFmtId="0" fontId="3" fillId="4" borderId="1" xfId="4" applyBorder="1" applyAlignment="1">
      <alignment vertical="center" wrapText="1"/>
    </xf>
    <xf numFmtId="0" fontId="3" fillId="4" borderId="1" xfId="4" applyBorder="1" applyAlignment="1">
      <alignment horizontal="left" vertical="center" wrapText="1"/>
    </xf>
    <xf numFmtId="0" fontId="3" fillId="4" borderId="1" xfId="4" applyBorder="1" applyAlignment="1">
      <alignment horizontal="right" vertical="center" wrapText="1"/>
    </xf>
    <xf numFmtId="0" fontId="2" fillId="2" borderId="2" xfId="2" applyFont="1" applyBorder="1" applyAlignment="1">
      <alignment horizontal="center" vertical="center" wrapText="1"/>
    </xf>
    <xf numFmtId="0" fontId="27" fillId="2" borderId="2" xfId="2" applyFont="1" applyBorder="1" applyAlignment="1">
      <alignment horizontal="center" vertical="center"/>
    </xf>
    <xf numFmtId="0" fontId="1" fillId="2" borderId="1" xfId="2" applyBorder="1" applyAlignment="1" applyProtection="1">
      <alignment vertical="center"/>
      <protection locked="0"/>
    </xf>
    <xf numFmtId="0" fontId="1" fillId="2" borderId="1" xfId="2" applyBorder="1" applyAlignment="1">
      <alignment horizontal="left" vertical="center" wrapText="1"/>
    </xf>
    <xf numFmtId="0" fontId="1" fillId="2" borderId="1" xfId="2" applyBorder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2" fillId="8" borderId="1" xfId="8" applyFont="1" applyBorder="1" applyAlignment="1">
      <alignment vertical="top"/>
    </xf>
    <xf numFmtId="0" fontId="2" fillId="8" borderId="1" xfId="8" applyFont="1" applyBorder="1" applyAlignment="1">
      <alignment horizontal="center" vertical="top" wrapText="1"/>
    </xf>
    <xf numFmtId="0" fontId="2" fillId="6" borderId="1" xfId="6" applyFont="1" applyBorder="1" applyAlignment="1">
      <alignment horizontal="center" vertical="top" wrapText="1"/>
    </xf>
    <xf numFmtId="0" fontId="2" fillId="3" borderId="1" xfId="3" applyFont="1" applyBorder="1" applyAlignment="1">
      <alignment horizontal="center" vertical="top" wrapText="1"/>
    </xf>
    <xf numFmtId="0" fontId="2" fillId="5" borderId="1" xfId="5" applyFont="1" applyBorder="1" applyAlignment="1">
      <alignment horizontal="center" vertical="top"/>
    </xf>
    <xf numFmtId="0" fontId="2" fillId="5" borderId="1" xfId="5" applyFont="1" applyBorder="1" applyAlignment="1">
      <alignment horizontal="center" vertical="top" wrapText="1"/>
    </xf>
    <xf numFmtId="0" fontId="2" fillId="7" borderId="1" xfId="7" applyFont="1" applyBorder="1" applyAlignment="1">
      <alignment horizontal="center" vertical="top" wrapText="1"/>
    </xf>
    <xf numFmtId="0" fontId="28" fillId="0" borderId="0" xfId="0" applyFont="1" applyAlignment="1">
      <alignment horizontal="right" vertical="center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Font="1" applyAlignment="1">
      <alignment horizontal="left" vertical="center"/>
    </xf>
    <xf numFmtId="0" fontId="30" fillId="0" borderId="0" xfId="0" applyFont="1" applyAlignment="1" applyProtection="1">
      <alignment vertical="center"/>
      <protection locked="0"/>
    </xf>
    <xf numFmtId="14" fontId="1" fillId="2" borderId="1" xfId="2" applyNumberFormat="1" applyBorder="1" applyAlignment="1">
      <alignment horizontal="center"/>
    </xf>
    <xf numFmtId="164" fontId="13" fillId="0" borderId="4" xfId="12" applyFont="1" applyBorder="1" applyAlignment="1">
      <alignment horizontal="right" vertical="center" wrapText="1"/>
    </xf>
    <xf numFmtId="164" fontId="1" fillId="2" borderId="2" xfId="12" applyFill="1" applyBorder="1" applyAlignment="1">
      <alignment horizontal="right" vertical="center" wrapText="1"/>
    </xf>
    <xf numFmtId="164" fontId="13" fillId="10" borderId="4" xfId="12" applyFont="1" applyFill="1" applyBorder="1" applyAlignment="1">
      <alignment horizontal="right" vertical="center" wrapText="1"/>
    </xf>
    <xf numFmtId="169" fontId="21" fillId="10" borderId="4" xfId="0" applyNumberFormat="1" applyFont="1" applyFill="1" applyBorder="1" applyAlignment="1">
      <alignment horizontal="right" vertical="center" wrapText="1"/>
    </xf>
    <xf numFmtId="49" fontId="1" fillId="2" borderId="1" xfId="2" applyNumberFormat="1" applyBorder="1" applyAlignment="1">
      <alignment horizontal="center"/>
    </xf>
    <xf numFmtId="164" fontId="2" fillId="2" borderId="2" xfId="12" applyFont="1" applyFill="1" applyBorder="1" applyAlignment="1">
      <alignment horizontal="center" vertical="center" wrapText="1"/>
    </xf>
    <xf numFmtId="0" fontId="0" fillId="2" borderId="1" xfId="2" applyFont="1" applyBorder="1" applyAlignment="1">
      <alignment horizontal="center" vertical="center" wrapText="1"/>
    </xf>
    <xf numFmtId="49" fontId="33" fillId="0" borderId="0" xfId="9" applyNumberFormat="1" applyFont="1" applyAlignment="1"/>
    <xf numFmtId="49" fontId="8" fillId="0" borderId="0" xfId="9" applyNumberFormat="1" applyAlignment="1"/>
    <xf numFmtId="0" fontId="19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top"/>
      <protection locked="0"/>
    </xf>
    <xf numFmtId="0" fontId="32" fillId="11" borderId="5" xfId="2" applyFont="1" applyFill="1" applyBorder="1" applyAlignment="1">
      <alignment horizontal="center" vertical="center" wrapText="1"/>
    </xf>
    <xf numFmtId="0" fontId="32" fillId="11" borderId="7" xfId="2" applyFont="1" applyFill="1" applyBorder="1" applyAlignment="1">
      <alignment horizontal="center" vertical="center" wrapText="1"/>
    </xf>
    <xf numFmtId="0" fontId="32" fillId="11" borderId="6" xfId="2" applyFont="1" applyFill="1" applyBorder="1" applyAlignment="1">
      <alignment horizontal="center" vertical="center" wrapText="1"/>
    </xf>
    <xf numFmtId="0" fontId="1" fillId="2" borderId="5" xfId="2" applyBorder="1" applyAlignment="1">
      <alignment horizontal="center" vertical="center" wrapText="1"/>
    </xf>
    <xf numFmtId="0" fontId="1" fillId="2" borderId="7" xfId="2" applyBorder="1" applyAlignment="1">
      <alignment horizontal="center" vertical="center" wrapText="1"/>
    </xf>
    <xf numFmtId="0" fontId="1" fillId="2" borderId="6" xfId="2" applyBorder="1" applyAlignment="1">
      <alignment horizontal="center" vertical="center" wrapText="1"/>
    </xf>
  </cellXfs>
  <cellStyles count="13">
    <cellStyle name="20% - Accent1" xfId="2" builtinId="30"/>
    <cellStyle name="40% - Accent1" xfId="3" builtinId="31"/>
    <cellStyle name="60% - Accent3" xfId="5" builtinId="40"/>
    <cellStyle name="60% - Accent4" xfId="6" builtinId="44"/>
    <cellStyle name="60% - Accent5" xfId="7" builtinId="48"/>
    <cellStyle name="60% - Accent6" xfId="8" builtinId="52"/>
    <cellStyle name="Accent3" xfId="4" builtinId="37"/>
    <cellStyle name="Comma" xfId="1" builtinId="3"/>
    <cellStyle name="Currency" xfId="12" builtinId="4"/>
    <cellStyle name="Hyperlink" xfId="9" builtinId="8"/>
    <cellStyle name="Normal" xfId="0" builtinId="0"/>
    <cellStyle name="Normal 2" xfId="10" xr:uid="{57060C80-6A46-47FA-8223-8E99A962B10F}"/>
    <cellStyle name="Normal 3" xfId="11" xr:uid="{1BA6B9A7-F511-4842-8EEE-749B34072FA3}"/>
  </cellStyles>
  <dxfs count="1"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320040</xdr:colOff>
      <xdr:row>35</xdr:row>
      <xdr:rowOff>53340</xdr:rowOff>
    </xdr:from>
    <xdr:to>
      <xdr:col>0</xdr:col>
      <xdr:colOff>1879600</xdr:colOff>
      <xdr:row>39</xdr:row>
      <xdr:rowOff>33233</xdr:rowOff>
    </xdr:to>
    <xdr:pic>
      <xdr:nvPicPr>
        <xdr:cNvPr id="2" name="Picture 1" descr="Time4Mind: The art of Signa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7101840"/>
          <a:ext cx="1559560" cy="7114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7620</xdr:rowOff>
        </xdr:from>
        <xdr:to>
          <xdr:col>9</xdr:col>
          <xdr:colOff>7620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7</xdr:row>
          <xdr:rowOff>175260</xdr:rowOff>
        </xdr:from>
        <xdr:to>
          <xdr:col>8</xdr:col>
          <xdr:colOff>594360</xdr:colOff>
          <xdr:row>9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rasanthgskp@gmail.com" TargetMode="External"/><Relationship Id="rId2" Type="http://schemas.openxmlformats.org/officeDocument/2006/relationships/hyperlink" Target="mailto:2000031281@kluniversity.in" TargetMode="External"/><Relationship Id="rId1" Type="http://schemas.openxmlformats.org/officeDocument/2006/relationships/hyperlink" Target="mailto:2000030349@kluniversity.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rasanthgskp@gmail.com" TargetMode="External"/><Relationship Id="rId4" Type="http://schemas.openxmlformats.org/officeDocument/2006/relationships/hyperlink" Target="mailto:2000030349@kluniversity.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E42D-D065-4885-8E74-52A6361A6A7F}">
  <sheetPr codeName="Sheet1"/>
  <dimension ref="A1:AG8"/>
  <sheetViews>
    <sheetView workbookViewId="0">
      <selection activeCell="A3" sqref="A3:AG10"/>
    </sheetView>
  </sheetViews>
  <sheetFormatPr defaultRowHeight="14.4" x14ac:dyDescent="0.3"/>
  <cols>
    <col min="1" max="1" width="11.21875" customWidth="1"/>
    <col min="2" max="2" width="26" customWidth="1"/>
    <col min="3" max="3" width="16.6640625" customWidth="1"/>
    <col min="4" max="4" width="21.109375" customWidth="1"/>
    <col min="5" max="5" width="13.109375" customWidth="1"/>
    <col min="6" max="7" width="11.6640625" bestFit="1" customWidth="1"/>
    <col min="8" max="8" width="15.44140625" customWidth="1"/>
    <col min="9" max="10" width="13.5546875" customWidth="1"/>
    <col min="11" max="11" width="10.6640625" bestFit="1" customWidth="1"/>
    <col min="12" max="12" width="11.88671875" customWidth="1"/>
    <col min="13" max="14" width="11.6640625" bestFit="1" customWidth="1"/>
    <col min="15" max="15" width="12.109375" bestFit="1" customWidth="1"/>
    <col min="16" max="17" width="13.5546875" customWidth="1"/>
    <col min="18" max="18" width="10.6640625" bestFit="1" customWidth="1"/>
    <col min="19" max="19" width="11.88671875" customWidth="1"/>
    <col min="20" max="20" width="10.6640625" customWidth="1"/>
    <col min="21" max="23" width="11.88671875" customWidth="1"/>
    <col min="24" max="24" width="11.6640625" bestFit="1" customWidth="1"/>
    <col min="25" max="25" width="15.109375" customWidth="1"/>
    <col min="26" max="27" width="11.44140625" bestFit="1" customWidth="1"/>
    <col min="28" max="29" width="7.33203125" customWidth="1"/>
    <col min="32" max="32" width="10.5546875" customWidth="1"/>
    <col min="33" max="35" width="32.88671875" customWidth="1"/>
  </cols>
  <sheetData>
    <row r="1" spans="1:33" x14ac:dyDescent="0.3">
      <c r="A1" s="1" t="s">
        <v>0</v>
      </c>
      <c r="B1" s="1"/>
      <c r="C1" s="2"/>
      <c r="D1" s="2"/>
      <c r="E1" s="1"/>
      <c r="F1" s="2"/>
      <c r="G1" s="1" t="s">
        <v>1</v>
      </c>
      <c r="H1" s="2"/>
      <c r="I1" s="3" t="s">
        <v>90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3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3" ht="57.6" x14ac:dyDescent="0.3">
      <c r="A3" s="55" t="s">
        <v>2</v>
      </c>
      <c r="B3" s="55" t="s">
        <v>3</v>
      </c>
      <c r="C3" s="55" t="s">
        <v>4</v>
      </c>
      <c r="D3" s="55" t="s">
        <v>5</v>
      </c>
      <c r="E3" s="56" t="s">
        <v>6</v>
      </c>
      <c r="F3" s="56" t="s">
        <v>7</v>
      </c>
      <c r="G3" s="56" t="s">
        <v>8</v>
      </c>
      <c r="H3" s="56" t="s">
        <v>9</v>
      </c>
      <c r="I3" s="56" t="s">
        <v>10</v>
      </c>
      <c r="J3" s="56" t="s">
        <v>11</v>
      </c>
      <c r="K3" s="56" t="s">
        <v>12</v>
      </c>
      <c r="L3" s="56" t="s">
        <v>13</v>
      </c>
      <c r="M3" s="57" t="s">
        <v>14</v>
      </c>
      <c r="N3" s="57" t="s">
        <v>15</v>
      </c>
      <c r="O3" s="57" t="s">
        <v>16</v>
      </c>
      <c r="P3" s="57" t="s">
        <v>17</v>
      </c>
      <c r="Q3" s="57" t="s">
        <v>18</v>
      </c>
      <c r="R3" s="57" t="s">
        <v>19</v>
      </c>
      <c r="S3" s="57" t="s">
        <v>20</v>
      </c>
      <c r="T3" s="58" t="s">
        <v>21</v>
      </c>
      <c r="U3" s="58" t="s">
        <v>22</v>
      </c>
      <c r="V3" s="59" t="s">
        <v>23</v>
      </c>
      <c r="W3" s="60" t="s">
        <v>24</v>
      </c>
      <c r="X3" s="60" t="s">
        <v>25</v>
      </c>
      <c r="Y3" s="61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  <c r="AD3" s="61" t="s">
        <v>31</v>
      </c>
      <c r="AE3" s="61" t="s">
        <v>32</v>
      </c>
      <c r="AF3" s="61" t="s">
        <v>33</v>
      </c>
      <c r="AG3" s="61" t="s">
        <v>93</v>
      </c>
    </row>
    <row r="4" spans="1:33" x14ac:dyDescent="0.3">
      <c r="A4" s="4" t="s">
        <v>34</v>
      </c>
      <c r="B4" s="5" t="s">
        <v>35</v>
      </c>
      <c r="C4" s="5" t="s">
        <v>36</v>
      </c>
      <c r="D4" s="5" t="s">
        <v>37</v>
      </c>
      <c r="E4" s="6">
        <f>9200000/12</f>
        <v>766666.66666666663</v>
      </c>
      <c r="F4" s="7">
        <f>E4/4</f>
        <v>191666.66666666666</v>
      </c>
      <c r="G4" s="7">
        <f>F4/2</f>
        <v>95833.333333333328</v>
      </c>
      <c r="H4" s="7">
        <v>1600</v>
      </c>
      <c r="I4" s="7">
        <v>1250</v>
      </c>
      <c r="J4" s="7">
        <f>E4/10</f>
        <v>76666.666666666657</v>
      </c>
      <c r="K4" s="7">
        <f>E4-SUM(F4:J4)</f>
        <v>399650</v>
      </c>
      <c r="L4" s="8">
        <f>ROUND(SUM(F4:K4),0)</f>
        <v>766667</v>
      </c>
      <c r="M4" s="7">
        <f t="shared" ref="M4:S8" si="0">F4*$AB4/$AC4</f>
        <v>185277.77777777778</v>
      </c>
      <c r="N4" s="7">
        <f t="shared" si="0"/>
        <v>92638.888888888891</v>
      </c>
      <c r="O4" s="7">
        <f t="shared" si="0"/>
        <v>1546.6666666666667</v>
      </c>
      <c r="P4" s="7">
        <f t="shared" si="0"/>
        <v>1208.3333333333333</v>
      </c>
      <c r="Q4" s="7">
        <f t="shared" si="0"/>
        <v>74111.111111111095</v>
      </c>
      <c r="R4" s="7">
        <f t="shared" si="0"/>
        <v>386328.33333333331</v>
      </c>
      <c r="S4" s="7">
        <f t="shared" si="0"/>
        <v>741111.43333333335</v>
      </c>
      <c r="T4" s="7">
        <f>E4*8/100</f>
        <v>61333.333333333328</v>
      </c>
      <c r="U4" s="8">
        <f>S4+T4</f>
        <v>802444.76666666672</v>
      </c>
      <c r="V4" s="6">
        <v>255470</v>
      </c>
      <c r="W4" s="8">
        <v>1000</v>
      </c>
      <c r="X4" s="6">
        <f>V4+W4</f>
        <v>256470</v>
      </c>
      <c r="Y4" s="6">
        <f>U4-X4</f>
        <v>545974.76666666672</v>
      </c>
      <c r="Z4" s="9">
        <v>43225</v>
      </c>
      <c r="AA4" s="9"/>
      <c r="AB4" s="6">
        <v>29</v>
      </c>
      <c r="AC4" s="6">
        <v>30</v>
      </c>
      <c r="AD4" s="6">
        <v>12</v>
      </c>
      <c r="AE4" s="6">
        <v>1</v>
      </c>
      <c r="AF4" s="6">
        <f>+AD4-AE4</f>
        <v>11</v>
      </c>
      <c r="AG4" s="75" t="s">
        <v>95</v>
      </c>
    </row>
    <row r="5" spans="1:33" x14ac:dyDescent="0.3">
      <c r="A5" s="4" t="s">
        <v>38</v>
      </c>
      <c r="B5" s="5" t="s">
        <v>39</v>
      </c>
      <c r="C5" s="5" t="s">
        <v>40</v>
      </c>
      <c r="D5" s="5" t="s">
        <v>41</v>
      </c>
      <c r="E5" s="6">
        <f>8500000/12</f>
        <v>708333.33333333337</v>
      </c>
      <c r="F5" s="7">
        <f t="shared" ref="F5:F8" si="1">E5/4</f>
        <v>177083.33333333334</v>
      </c>
      <c r="G5" s="7">
        <f t="shared" ref="G5:G8" si="2">F5/2</f>
        <v>88541.666666666672</v>
      </c>
      <c r="H5" s="7">
        <v>1600</v>
      </c>
      <c r="I5" s="7">
        <v>1250</v>
      </c>
      <c r="J5" s="7">
        <f t="shared" ref="J5:J8" si="3">E5/10</f>
        <v>70833.333333333343</v>
      </c>
      <c r="K5" s="7">
        <f>E5-SUM(F5:J5)</f>
        <v>369025</v>
      </c>
      <c r="L5" s="8">
        <f>ROUND(SUM(F5:K5),0)</f>
        <v>708333</v>
      </c>
      <c r="M5" s="7">
        <f t="shared" si="0"/>
        <v>141666.66666666666</v>
      </c>
      <c r="N5" s="7">
        <f t="shared" si="0"/>
        <v>70833.333333333328</v>
      </c>
      <c r="O5" s="7">
        <f t="shared" si="0"/>
        <v>1280</v>
      </c>
      <c r="P5" s="7">
        <f t="shared" si="0"/>
        <v>1000</v>
      </c>
      <c r="Q5" s="7">
        <f t="shared" si="0"/>
        <v>56666.666666666672</v>
      </c>
      <c r="R5" s="7">
        <f t="shared" si="0"/>
        <v>295220</v>
      </c>
      <c r="S5" s="7">
        <f t="shared" si="0"/>
        <v>566666.4</v>
      </c>
      <c r="T5" s="7">
        <f>E5*8/100</f>
        <v>56666.666666666672</v>
      </c>
      <c r="U5" s="8">
        <f t="shared" ref="U5:U8" si="4">S5+T5</f>
        <v>623333.06666666665</v>
      </c>
      <c r="V5" s="6">
        <v>178900</v>
      </c>
      <c r="W5" s="8">
        <v>1000</v>
      </c>
      <c r="X5" s="6">
        <f t="shared" ref="X5:X8" si="5">V5+W5</f>
        <v>179900</v>
      </c>
      <c r="Y5" s="6">
        <f t="shared" ref="Y5:Y8" si="6">U5-X5</f>
        <v>443433.06666666665</v>
      </c>
      <c r="Z5" s="9">
        <v>42888</v>
      </c>
      <c r="AA5" s="9"/>
      <c r="AB5" s="6">
        <v>24</v>
      </c>
      <c r="AC5" s="6">
        <v>30</v>
      </c>
      <c r="AD5" s="6">
        <v>12</v>
      </c>
      <c r="AE5" s="6">
        <v>3</v>
      </c>
      <c r="AF5" s="6">
        <f>+AD5-AE5</f>
        <v>9</v>
      </c>
      <c r="AG5" s="75" t="s">
        <v>96</v>
      </c>
    </row>
    <row r="6" spans="1:33" x14ac:dyDescent="0.3">
      <c r="A6" s="4" t="s">
        <v>42</v>
      </c>
      <c r="B6" s="5" t="s">
        <v>43</v>
      </c>
      <c r="C6" s="5" t="s">
        <v>44</v>
      </c>
      <c r="D6" s="5" t="s">
        <v>45</v>
      </c>
      <c r="E6" s="6">
        <f>4500000/12</f>
        <v>375000</v>
      </c>
      <c r="F6" s="7">
        <f t="shared" si="1"/>
        <v>93750</v>
      </c>
      <c r="G6" s="7">
        <f t="shared" si="2"/>
        <v>46875</v>
      </c>
      <c r="H6" s="7">
        <v>1600</v>
      </c>
      <c r="I6" s="7">
        <v>1250</v>
      </c>
      <c r="J6" s="7">
        <f t="shared" si="3"/>
        <v>37500</v>
      </c>
      <c r="K6" s="7">
        <f>E6-SUM(F6:J6)</f>
        <v>194025</v>
      </c>
      <c r="L6" s="8">
        <f>ROUND(SUM(F6:K6),0)</f>
        <v>375000</v>
      </c>
      <c r="M6" s="7">
        <f t="shared" si="0"/>
        <v>93750</v>
      </c>
      <c r="N6" s="7">
        <f t="shared" si="0"/>
        <v>46875</v>
      </c>
      <c r="O6" s="7">
        <f t="shared" si="0"/>
        <v>1600</v>
      </c>
      <c r="P6" s="7">
        <f t="shared" si="0"/>
        <v>1250</v>
      </c>
      <c r="Q6" s="7">
        <f t="shared" si="0"/>
        <v>37500</v>
      </c>
      <c r="R6" s="7">
        <f t="shared" si="0"/>
        <v>194025</v>
      </c>
      <c r="S6" s="7">
        <f t="shared" si="0"/>
        <v>375000</v>
      </c>
      <c r="T6" s="7">
        <f>E6*8/100</f>
        <v>30000</v>
      </c>
      <c r="U6" s="8">
        <f t="shared" si="4"/>
        <v>405000</v>
      </c>
      <c r="V6" s="6">
        <v>112900</v>
      </c>
      <c r="W6" s="8">
        <v>1000</v>
      </c>
      <c r="X6" s="6">
        <f t="shared" si="5"/>
        <v>113900</v>
      </c>
      <c r="Y6" s="6">
        <f t="shared" si="6"/>
        <v>291100</v>
      </c>
      <c r="Z6" s="9">
        <v>42377</v>
      </c>
      <c r="AA6" s="9"/>
      <c r="AB6" s="6">
        <v>30</v>
      </c>
      <c r="AC6" s="6">
        <v>30</v>
      </c>
      <c r="AD6" s="6">
        <v>12</v>
      </c>
      <c r="AE6" s="6">
        <v>2</v>
      </c>
      <c r="AF6" s="6">
        <f>+AD6-AE6</f>
        <v>10</v>
      </c>
      <c r="AG6" s="74" t="s">
        <v>94</v>
      </c>
    </row>
    <row r="7" spans="1:33" x14ac:dyDescent="0.3">
      <c r="A7" s="4" t="s">
        <v>46</v>
      </c>
      <c r="B7" s="5" t="s">
        <v>47</v>
      </c>
      <c r="C7" s="5" t="s">
        <v>48</v>
      </c>
      <c r="D7" s="5" t="s">
        <v>49</v>
      </c>
      <c r="E7" s="6">
        <f>2500000/12</f>
        <v>208333.33333333334</v>
      </c>
      <c r="F7" s="7">
        <f t="shared" si="1"/>
        <v>52083.333333333336</v>
      </c>
      <c r="G7" s="7">
        <f t="shared" si="2"/>
        <v>26041.666666666668</v>
      </c>
      <c r="H7" s="7">
        <v>1600</v>
      </c>
      <c r="I7" s="7">
        <v>1250</v>
      </c>
      <c r="J7" s="7">
        <f t="shared" si="3"/>
        <v>20833.333333333336</v>
      </c>
      <c r="K7" s="7">
        <f>E7-SUM(F7:J7)</f>
        <v>106525</v>
      </c>
      <c r="L7" s="8">
        <f>ROUND(SUM(F7:K7),0)</f>
        <v>208333</v>
      </c>
      <c r="M7" s="7">
        <f t="shared" si="0"/>
        <v>43402.777777777781</v>
      </c>
      <c r="N7" s="7">
        <f t="shared" si="0"/>
        <v>21701.388888888891</v>
      </c>
      <c r="O7" s="7">
        <f t="shared" si="0"/>
        <v>1333.3333333333333</v>
      </c>
      <c r="P7" s="7">
        <f t="shared" si="0"/>
        <v>1041.6666666666667</v>
      </c>
      <c r="Q7" s="7">
        <f t="shared" si="0"/>
        <v>17361.111111111113</v>
      </c>
      <c r="R7" s="7">
        <f t="shared" si="0"/>
        <v>88770.833333333328</v>
      </c>
      <c r="S7" s="7">
        <f t="shared" si="0"/>
        <v>173610.83333333334</v>
      </c>
      <c r="T7" s="7">
        <f>E7*8/100</f>
        <v>16666.666666666668</v>
      </c>
      <c r="U7" s="8">
        <f t="shared" si="4"/>
        <v>190277.5</v>
      </c>
      <c r="V7" s="6">
        <v>34900</v>
      </c>
      <c r="W7" s="8">
        <v>1000</v>
      </c>
      <c r="X7" s="6">
        <f t="shared" si="5"/>
        <v>35900</v>
      </c>
      <c r="Y7" s="6">
        <f t="shared" si="6"/>
        <v>154377.5</v>
      </c>
      <c r="Z7" s="9">
        <v>43811</v>
      </c>
      <c r="AA7" s="9"/>
      <c r="AB7" s="6">
        <v>25</v>
      </c>
      <c r="AC7" s="6">
        <v>30</v>
      </c>
      <c r="AD7" s="6">
        <v>12</v>
      </c>
      <c r="AE7" s="6">
        <v>5</v>
      </c>
      <c r="AF7" s="6">
        <f>+AD7-AE7</f>
        <v>7</v>
      </c>
      <c r="AG7" s="75" t="s">
        <v>95</v>
      </c>
    </row>
    <row r="8" spans="1:33" x14ac:dyDescent="0.3">
      <c r="A8" s="4" t="s">
        <v>50</v>
      </c>
      <c r="B8" s="5" t="s">
        <v>51</v>
      </c>
      <c r="C8" s="5" t="s">
        <v>52</v>
      </c>
      <c r="D8" s="5" t="s">
        <v>53</v>
      </c>
      <c r="E8" s="6">
        <f>3500000/12</f>
        <v>291666.66666666669</v>
      </c>
      <c r="F8" s="7">
        <f t="shared" si="1"/>
        <v>72916.666666666672</v>
      </c>
      <c r="G8" s="7">
        <f t="shared" si="2"/>
        <v>36458.333333333336</v>
      </c>
      <c r="H8" s="7">
        <v>1600</v>
      </c>
      <c r="I8" s="7">
        <v>1250</v>
      </c>
      <c r="J8" s="7">
        <f t="shared" si="3"/>
        <v>29166.666666666668</v>
      </c>
      <c r="K8" s="7">
        <f>E8-SUM(F8:J8)</f>
        <v>150275.00000000003</v>
      </c>
      <c r="L8" s="8">
        <f>ROUND(SUM(F8:K8),0)</f>
        <v>291667</v>
      </c>
      <c r="M8" s="7">
        <f t="shared" si="0"/>
        <v>72916.666666666672</v>
      </c>
      <c r="N8" s="7">
        <f t="shared" si="0"/>
        <v>36458.333333333336</v>
      </c>
      <c r="O8" s="7">
        <f t="shared" si="0"/>
        <v>1600</v>
      </c>
      <c r="P8" s="7">
        <f t="shared" si="0"/>
        <v>1250</v>
      </c>
      <c r="Q8" s="7">
        <f t="shared" si="0"/>
        <v>29166.666666666668</v>
      </c>
      <c r="R8" s="7">
        <f t="shared" si="0"/>
        <v>150275.00000000003</v>
      </c>
      <c r="S8" s="7">
        <f t="shared" si="0"/>
        <v>291667</v>
      </c>
      <c r="T8" s="7">
        <f>E8*8/100</f>
        <v>23333.333333333336</v>
      </c>
      <c r="U8" s="8">
        <f t="shared" si="4"/>
        <v>315000.33333333331</v>
      </c>
      <c r="V8" s="6">
        <v>23900</v>
      </c>
      <c r="W8" s="8">
        <v>1000</v>
      </c>
      <c r="X8" s="6">
        <f t="shared" si="5"/>
        <v>24900</v>
      </c>
      <c r="Y8" s="6">
        <f t="shared" si="6"/>
        <v>290100.33333333331</v>
      </c>
      <c r="Z8" s="9">
        <v>43628</v>
      </c>
      <c r="AA8" s="9"/>
      <c r="AB8" s="6">
        <f>30</f>
        <v>30</v>
      </c>
      <c r="AC8" s="6">
        <f>30</f>
        <v>30</v>
      </c>
      <c r="AD8" s="6">
        <v>12</v>
      </c>
      <c r="AE8" s="6">
        <v>2</v>
      </c>
      <c r="AF8" s="6">
        <f>+AD8-AE8</f>
        <v>10</v>
      </c>
      <c r="AG8" s="75" t="s">
        <v>96</v>
      </c>
    </row>
  </sheetData>
  <hyperlinks>
    <hyperlink ref="AG4" r:id="rId1" xr:uid="{80C7D7C4-51DC-4B54-A934-D759A5356650}"/>
    <hyperlink ref="AG6" r:id="rId2" xr:uid="{C8DE2A5F-CDA2-40E6-93C1-678FD2272182}"/>
    <hyperlink ref="AG5" r:id="rId3" xr:uid="{6EAC5DB4-4626-41B4-9FFC-CAA68A0EE028}"/>
    <hyperlink ref="AG7" r:id="rId4" xr:uid="{B175629E-8ACB-4DAC-B1B2-8DDBC72D0533}"/>
    <hyperlink ref="AG8" r:id="rId5" xr:uid="{7F0ED70D-C831-4A5F-985C-64086D769BCD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32C01-D04B-43D9-9882-7F39BF65BAC2}">
  <sheetPr codeName="Sheet2"/>
  <dimension ref="A1:F48"/>
  <sheetViews>
    <sheetView tabSelected="1" workbookViewId="0">
      <selection activeCell="K13" sqref="K13"/>
    </sheetView>
  </sheetViews>
  <sheetFormatPr defaultRowHeight="14.4" x14ac:dyDescent="0.3"/>
  <cols>
    <col min="1" max="1" width="30.109375" customWidth="1"/>
    <col min="2" max="2" width="15.33203125" customWidth="1"/>
    <col min="3" max="3" width="14.6640625" customWidth="1"/>
    <col min="4" max="4" width="13.44140625" customWidth="1"/>
    <col min="5" max="5" width="14.21875" customWidth="1"/>
    <col min="6" max="6" width="8.21875" customWidth="1"/>
  </cols>
  <sheetData>
    <row r="1" spans="1:6" ht="46.2" x14ac:dyDescent="0.3">
      <c r="A1" s="65" t="s">
        <v>97</v>
      </c>
      <c r="B1" s="10"/>
      <c r="C1" s="11"/>
      <c r="D1" s="12"/>
      <c r="E1" s="62" t="s">
        <v>54</v>
      </c>
      <c r="F1" s="13"/>
    </row>
    <row r="2" spans="1:6" x14ac:dyDescent="0.3">
      <c r="A2" s="63" t="s">
        <v>87</v>
      </c>
      <c r="B2" s="64"/>
      <c r="C2" s="14"/>
      <c r="D2" s="14"/>
      <c r="E2" s="14"/>
      <c r="F2" s="15"/>
    </row>
    <row r="3" spans="1:6" x14ac:dyDescent="0.3">
      <c r="A3" s="63" t="s">
        <v>88</v>
      </c>
      <c r="B3" s="64"/>
      <c r="C3" s="14"/>
      <c r="D3" s="14"/>
      <c r="E3" s="14"/>
      <c r="F3" s="16"/>
    </row>
    <row r="4" spans="1:6" x14ac:dyDescent="0.3">
      <c r="A4" s="17"/>
      <c r="B4" s="18"/>
      <c r="C4" s="19"/>
      <c r="D4" s="19"/>
      <c r="E4" s="19"/>
      <c r="F4" s="20"/>
    </row>
    <row r="5" spans="1:6" x14ac:dyDescent="0.3">
      <c r="A5" s="21" t="s">
        <v>55</v>
      </c>
      <c r="B5" s="38"/>
      <c r="C5" s="43" t="s">
        <v>81</v>
      </c>
      <c r="D5" s="44" t="s">
        <v>68</v>
      </c>
      <c r="E5" s="44" t="s">
        <v>72</v>
      </c>
    </row>
    <row r="6" spans="1:6" x14ac:dyDescent="0.3">
      <c r="A6" s="50" t="s">
        <v>56</v>
      </c>
      <c r="B6" s="51" t="str">
        <f>VLOOKUP(C8,'Salary Structure'!A4:AF8,2,FALSE)</f>
        <v>Bhakti Joshi</v>
      </c>
      <c r="C6" s="66">
        <f ca="1">TODAY()</f>
        <v>44363</v>
      </c>
      <c r="D6" s="52" t="str">
        <f>VLOOKUP(C8,'Salary Structure'!A4:AF8,4,FALSE)</f>
        <v>CFO</v>
      </c>
      <c r="E6" s="71">
        <f ca="1">MONTH(C6)</f>
        <v>6</v>
      </c>
    </row>
    <row r="7" spans="1:6" x14ac:dyDescent="0.3">
      <c r="A7" s="37" t="s">
        <v>69</v>
      </c>
      <c r="B7" s="39"/>
      <c r="C7" s="43" t="s">
        <v>66</v>
      </c>
      <c r="D7" s="44" t="s">
        <v>67</v>
      </c>
      <c r="E7" s="44" t="s">
        <v>70</v>
      </c>
    </row>
    <row r="8" spans="1:6" x14ac:dyDescent="0.3">
      <c r="A8" s="50" t="s">
        <v>71</v>
      </c>
      <c r="B8" s="51">
        <f>VLOOKUP(C8,'Salary Structure'!A4:AF8,30,FALSE)</f>
        <v>12</v>
      </c>
      <c r="C8" s="73" t="s">
        <v>38</v>
      </c>
      <c r="D8" s="52" t="str">
        <f>VLOOKUP(C8,'Salary Structure'!A4:AF8,3,FALSE)</f>
        <v>ASEPJ5678F</v>
      </c>
      <c r="E8" s="52" t="s">
        <v>89</v>
      </c>
    </row>
    <row r="9" spans="1:6" x14ac:dyDescent="0.3">
      <c r="A9" s="50" t="s">
        <v>82</v>
      </c>
      <c r="B9" s="51">
        <f>VLOOKUP(C8,'Salary Structure'!A4:AF8,31,FALSE)</f>
        <v>3</v>
      </c>
      <c r="C9" s="78" t="s">
        <v>92</v>
      </c>
      <c r="D9" s="79"/>
      <c r="E9" s="80"/>
    </row>
    <row r="10" spans="1:6" x14ac:dyDescent="0.3">
      <c r="A10" s="50" t="s">
        <v>83</v>
      </c>
      <c r="B10" s="51">
        <f>VLOOKUP(C8,'Salary Structure'!A4:AF8,32,FALSE)</f>
        <v>9</v>
      </c>
      <c r="C10" s="81" t="str">
        <f>VLOOKUP(C8,'Salary Structure'!A4:AG8,33,FALSE)</f>
        <v>prasanthgskp@gmail.com</v>
      </c>
      <c r="D10" s="82"/>
      <c r="E10" s="83"/>
    </row>
    <row r="11" spans="1:6" x14ac:dyDescent="0.3">
      <c r="A11" s="20"/>
      <c r="B11" s="18"/>
      <c r="C11" s="22"/>
    </row>
    <row r="12" spans="1:6" x14ac:dyDescent="0.3">
      <c r="A12" s="45" t="s">
        <v>57</v>
      </c>
      <c r="B12" s="46" t="s">
        <v>58</v>
      </c>
      <c r="C12" s="46" t="s">
        <v>59</v>
      </c>
      <c r="D12" s="47" t="s">
        <v>60</v>
      </c>
      <c r="E12" s="47" t="s">
        <v>91</v>
      </c>
      <c r="F12" s="22"/>
    </row>
    <row r="13" spans="1:6" x14ac:dyDescent="0.3">
      <c r="A13" s="40" t="s">
        <v>73</v>
      </c>
      <c r="B13" s="41" t="s">
        <v>85</v>
      </c>
      <c r="C13" s="42" t="s">
        <v>85</v>
      </c>
      <c r="D13" s="67">
        <f>VLOOKUP(C8,'Salary Structure'!A4:AF8,13,FALSE)</f>
        <v>141666.66666666666</v>
      </c>
      <c r="E13" s="69">
        <f>VLOOKUP(C8,'Salary Structure'!A4:AF8,6,FALSE)</f>
        <v>177083.33333333334</v>
      </c>
      <c r="F13" s="20"/>
    </row>
    <row r="14" spans="1:6" x14ac:dyDescent="0.3">
      <c r="A14" s="40" t="s">
        <v>74</v>
      </c>
      <c r="B14" s="41" t="s">
        <v>85</v>
      </c>
      <c r="C14" s="42" t="s">
        <v>85</v>
      </c>
      <c r="D14" s="67">
        <f>VLOOKUP(C8,'Salary Structure'!A4:AF8,14,FALSE)</f>
        <v>70833.333333333328</v>
      </c>
      <c r="E14" s="69">
        <f>VLOOKUP(C8,'Salary Structure'!A4:AF8,7,FALSE)</f>
        <v>88541.666666666672</v>
      </c>
      <c r="F14" s="20"/>
    </row>
    <row r="15" spans="1:6" x14ac:dyDescent="0.3">
      <c r="A15" s="40" t="s">
        <v>84</v>
      </c>
      <c r="B15" s="41" t="s">
        <v>85</v>
      </c>
      <c r="C15" s="42" t="s">
        <v>85</v>
      </c>
      <c r="D15" s="67">
        <f>VLOOKUP(C8,'Salary Structure'!A4:AF8,15,FALSE)</f>
        <v>1280</v>
      </c>
      <c r="E15" s="69">
        <f>VLOOKUP(C8,'Salary Structure'!A4:AF8,8,FALSE)</f>
        <v>1600</v>
      </c>
      <c r="F15" s="20"/>
    </row>
    <row r="16" spans="1:6" x14ac:dyDescent="0.3">
      <c r="A16" s="40" t="s">
        <v>76</v>
      </c>
      <c r="B16" s="41" t="s">
        <v>85</v>
      </c>
      <c r="C16" s="42" t="s">
        <v>85</v>
      </c>
      <c r="D16" s="67">
        <f>VLOOKUP(C8,'Salary Structure'!A4:AF8,16,FALSE)</f>
        <v>1000</v>
      </c>
      <c r="E16" s="69">
        <f>VLOOKUP(C8,'Salary Structure'!A4:AF8,9,FALSE)</f>
        <v>1250</v>
      </c>
      <c r="F16" s="20"/>
    </row>
    <row r="17" spans="1:6" x14ac:dyDescent="0.3">
      <c r="A17" s="40" t="s">
        <v>77</v>
      </c>
      <c r="B17" s="41" t="s">
        <v>85</v>
      </c>
      <c r="C17" s="42" t="s">
        <v>85</v>
      </c>
      <c r="D17" s="67">
        <f>VLOOKUP(C8,'Salary Structure'!A4:AF8,17,FALSE)</f>
        <v>56666.666666666672</v>
      </c>
      <c r="E17" s="69">
        <f>VLOOKUP(C8,'Salary Structure'!A4:AF8,10,FALSE)</f>
        <v>70833.333333333343</v>
      </c>
      <c r="F17" s="20"/>
    </row>
    <row r="18" spans="1:6" x14ac:dyDescent="0.3">
      <c r="A18" s="40" t="s">
        <v>78</v>
      </c>
      <c r="B18" s="41" t="s">
        <v>85</v>
      </c>
      <c r="C18" s="41" t="s">
        <v>85</v>
      </c>
      <c r="D18" s="67">
        <f>VLOOKUP(C8,'Salary Structure'!A4:AF8,18,FALSE)</f>
        <v>295220</v>
      </c>
      <c r="E18" s="69">
        <f>VLOOKUP(C8,'Salary Structure'!A4:AF8,11,FALSE)</f>
        <v>369025</v>
      </c>
      <c r="F18" s="20"/>
    </row>
    <row r="19" spans="1:6" x14ac:dyDescent="0.3">
      <c r="A19" s="54" t="s">
        <v>79</v>
      </c>
      <c r="B19" s="41" t="s">
        <v>85</v>
      </c>
      <c r="C19" s="41" t="s">
        <v>85</v>
      </c>
      <c r="D19" s="67">
        <f>VLOOKUP(C8,'Salary Structure'!A4:AF8,20,FALSE)</f>
        <v>56666.666666666672</v>
      </c>
      <c r="E19" s="70" t="s">
        <v>85</v>
      </c>
      <c r="F19" s="20"/>
    </row>
    <row r="20" spans="1:6" x14ac:dyDescent="0.3">
      <c r="A20" s="23"/>
      <c r="B20" s="24"/>
      <c r="C20" s="27"/>
      <c r="D20" s="25"/>
      <c r="E20" s="26"/>
      <c r="F20" s="20"/>
    </row>
    <row r="21" spans="1:6" x14ac:dyDescent="0.3">
      <c r="A21" s="23"/>
      <c r="B21" s="24"/>
      <c r="C21" s="27"/>
      <c r="D21" s="25"/>
      <c r="E21" s="26"/>
      <c r="F21" s="20"/>
    </row>
    <row r="22" spans="1:6" x14ac:dyDescent="0.3">
      <c r="C22" s="48" t="s">
        <v>61</v>
      </c>
      <c r="D22" s="68">
        <f>SUM(D13:D19)</f>
        <v>623333.33333333337</v>
      </c>
      <c r="E22" s="68">
        <f>SUM(E13:E18)</f>
        <v>708333.33333333337</v>
      </c>
      <c r="F22" s="20"/>
    </row>
    <row r="23" spans="1:6" x14ac:dyDescent="0.3">
      <c r="A23" s="20"/>
      <c r="B23" s="18"/>
      <c r="C23" s="18"/>
      <c r="D23" s="28"/>
      <c r="E23" s="28"/>
      <c r="F23" s="20"/>
    </row>
    <row r="24" spans="1:6" x14ac:dyDescent="0.3">
      <c r="A24" s="45" t="s">
        <v>62</v>
      </c>
      <c r="B24" s="46"/>
      <c r="C24" s="46"/>
      <c r="D24" s="47" t="s">
        <v>60</v>
      </c>
      <c r="E24" s="47" t="s">
        <v>91</v>
      </c>
      <c r="F24" s="20"/>
    </row>
    <row r="25" spans="1:6" x14ac:dyDescent="0.3">
      <c r="A25" s="40" t="s">
        <v>23</v>
      </c>
      <c r="B25" s="24"/>
      <c r="C25" s="24"/>
      <c r="D25" s="67">
        <f>VLOOKUP(C8,'Salary Structure'!A4:AF8,22,FALSE)</f>
        <v>178900</v>
      </c>
      <c r="E25" s="70" t="s">
        <v>85</v>
      </c>
      <c r="F25" s="20"/>
    </row>
    <row r="26" spans="1:6" x14ac:dyDescent="0.3">
      <c r="A26" s="40" t="s">
        <v>75</v>
      </c>
      <c r="B26" s="24"/>
      <c r="C26" s="24"/>
      <c r="D26" s="67">
        <f>VLOOKUP(C8,'Salary Structure'!A4:AF8,23,FALSE)</f>
        <v>1000</v>
      </c>
      <c r="E26" s="70" t="s">
        <v>85</v>
      </c>
      <c r="F26" s="22"/>
    </row>
    <row r="27" spans="1:6" x14ac:dyDescent="0.3">
      <c r="A27" s="23"/>
      <c r="B27" s="24"/>
      <c r="C27" s="24"/>
      <c r="D27" s="25"/>
      <c r="E27" s="26"/>
      <c r="F27" s="20"/>
    </row>
    <row r="28" spans="1:6" x14ac:dyDescent="0.3">
      <c r="A28" s="23"/>
      <c r="B28" s="24"/>
      <c r="C28" s="24"/>
      <c r="D28" s="25"/>
      <c r="E28" s="26"/>
      <c r="F28" s="22"/>
    </row>
    <row r="29" spans="1:6" x14ac:dyDescent="0.3">
      <c r="A29" s="23"/>
      <c r="B29" s="24"/>
      <c r="C29" s="24"/>
      <c r="D29" s="25"/>
      <c r="E29" s="26"/>
      <c r="F29" s="20"/>
    </row>
    <row r="30" spans="1:6" x14ac:dyDescent="0.3">
      <c r="A30" s="23"/>
      <c r="B30" s="24"/>
      <c r="C30" s="24"/>
      <c r="D30" s="25" t="s">
        <v>98</v>
      </c>
      <c r="E30" s="26"/>
      <c r="F30" s="20"/>
    </row>
    <row r="31" spans="1:6" x14ac:dyDescent="0.3">
      <c r="A31" s="23"/>
      <c r="B31" s="24"/>
      <c r="C31" s="24"/>
      <c r="D31" s="25" t="s">
        <v>98</v>
      </c>
      <c r="E31" s="26"/>
      <c r="F31" s="20"/>
    </row>
    <row r="32" spans="1:6" x14ac:dyDescent="0.3">
      <c r="A32" s="23"/>
      <c r="B32" s="24"/>
      <c r="C32" s="24"/>
      <c r="D32" s="25" t="s">
        <v>98</v>
      </c>
      <c r="E32" s="26"/>
      <c r="F32" s="20"/>
    </row>
    <row r="33" spans="1:6" x14ac:dyDescent="0.3">
      <c r="C33" s="49" t="s">
        <v>63</v>
      </c>
      <c r="D33" s="68">
        <f>SUM(D25:D26)</f>
        <v>179900</v>
      </c>
      <c r="E33" s="70" t="s">
        <v>85</v>
      </c>
      <c r="F33" s="20"/>
    </row>
    <row r="34" spans="1:6" x14ac:dyDescent="0.3">
      <c r="A34" s="20"/>
      <c r="B34" s="18"/>
      <c r="C34" s="18"/>
      <c r="D34" s="28"/>
      <c r="E34" s="29"/>
      <c r="F34" s="20"/>
    </row>
    <row r="35" spans="1:6" x14ac:dyDescent="0.3">
      <c r="A35" s="20"/>
      <c r="B35" s="18"/>
      <c r="C35" s="48" t="s">
        <v>64</v>
      </c>
      <c r="D35" s="72">
        <f>ROUND(IMSUB(D22,D33),2)</f>
        <v>443433.33</v>
      </c>
      <c r="E35" s="72">
        <f>SUM(E13:E18)</f>
        <v>708333.33333333337</v>
      </c>
      <c r="F35" s="20"/>
    </row>
    <row r="36" spans="1:6" x14ac:dyDescent="0.3">
      <c r="A36" s="20"/>
      <c r="B36" s="18"/>
      <c r="C36" s="18"/>
      <c r="D36" s="18"/>
      <c r="E36" s="18"/>
      <c r="F36" s="20"/>
    </row>
    <row r="37" spans="1:6" x14ac:dyDescent="0.3">
      <c r="A37" s="20"/>
      <c r="B37" s="18"/>
      <c r="C37" s="18"/>
      <c r="D37" s="18"/>
      <c r="E37" s="18"/>
      <c r="F37" s="20"/>
    </row>
    <row r="38" spans="1:6" x14ac:dyDescent="0.3">
      <c r="A38" s="20"/>
      <c r="B38" s="18"/>
      <c r="C38" s="18"/>
      <c r="D38" s="18"/>
      <c r="E38" s="18"/>
      <c r="F38" s="20"/>
    </row>
    <row r="39" spans="1:6" x14ac:dyDescent="0.3">
      <c r="A39" s="20"/>
      <c r="B39" s="18"/>
      <c r="C39" s="18"/>
      <c r="D39" s="18"/>
      <c r="E39" s="18"/>
      <c r="F39" s="22"/>
    </row>
    <row r="40" spans="1:6" x14ac:dyDescent="0.3">
      <c r="A40" s="53" t="s">
        <v>86</v>
      </c>
      <c r="B40" s="18"/>
      <c r="C40" s="18"/>
      <c r="D40" s="18"/>
      <c r="E40" s="18"/>
      <c r="F40" s="20"/>
    </row>
    <row r="41" spans="1:6" x14ac:dyDescent="0.3">
      <c r="A41" s="20"/>
      <c r="B41" s="18"/>
      <c r="C41" s="18"/>
      <c r="D41" s="18"/>
      <c r="E41" s="18"/>
      <c r="F41" s="30"/>
    </row>
    <row r="42" spans="1:6" x14ac:dyDescent="0.3">
      <c r="A42" s="76" t="s">
        <v>65</v>
      </c>
      <c r="B42" s="76"/>
      <c r="C42" s="76"/>
      <c r="D42" s="76"/>
      <c r="E42" s="76"/>
      <c r="F42" s="31"/>
    </row>
    <row r="43" spans="1:6" x14ac:dyDescent="0.3">
      <c r="A43" s="77" t="s">
        <v>80</v>
      </c>
      <c r="B43" s="77"/>
      <c r="C43" s="77"/>
      <c r="D43" s="77"/>
      <c r="E43" s="77"/>
      <c r="F43" s="32"/>
    </row>
    <row r="44" spans="1:6" x14ac:dyDescent="0.3">
      <c r="A44" s="20"/>
      <c r="B44" s="18"/>
      <c r="C44" s="18"/>
      <c r="D44" s="18"/>
      <c r="E44" s="18"/>
      <c r="F44" s="33"/>
    </row>
    <row r="45" spans="1:6" x14ac:dyDescent="0.3">
      <c r="A45" s="20"/>
      <c r="B45" s="18"/>
      <c r="C45" s="18"/>
      <c r="D45" s="18"/>
      <c r="E45" s="18"/>
      <c r="F45" s="31"/>
    </row>
    <row r="46" spans="1:6" x14ac:dyDescent="0.3">
      <c r="A46" s="34"/>
      <c r="B46" s="35"/>
      <c r="C46" s="35"/>
      <c r="D46" s="35"/>
      <c r="E46" s="36"/>
      <c r="F46" s="31"/>
    </row>
    <row r="47" spans="1:6" x14ac:dyDescent="0.3">
      <c r="A47" s="14"/>
      <c r="B47" s="14"/>
      <c r="C47" s="14"/>
      <c r="D47" s="14"/>
      <c r="E47" s="14"/>
      <c r="F47" s="33"/>
    </row>
    <row r="48" spans="1:6" x14ac:dyDescent="0.3">
      <c r="F48" s="14"/>
    </row>
  </sheetData>
  <mergeCells count="4">
    <mergeCell ref="A42:E42"/>
    <mergeCell ref="A43:E43"/>
    <mergeCell ref="C9:E9"/>
    <mergeCell ref="C10:E10"/>
  </mergeCells>
  <conditionalFormatting sqref="B22">
    <cfRule type="containsText" dxfId="0" priority="1" operator="containsText" text="Vertex42">
      <formula>NOT(ISERROR(SEARCH(("Vertex42"),(B22))))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DF">
                <anchor moveWithCells="1" sizeWithCells="1">
                  <from>
                    <xdr:col>7</xdr:col>
                    <xdr:colOff>7620</xdr:colOff>
                    <xdr:row>5</xdr:row>
                    <xdr:rowOff>7620</xdr:rowOff>
                  </from>
                  <to>
                    <xdr:col>9</xdr:col>
                    <xdr:colOff>7620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7</xdr:col>
                    <xdr:colOff>7620</xdr:colOff>
                    <xdr:row>7</xdr:row>
                    <xdr:rowOff>175260</xdr:rowOff>
                  </from>
                  <to>
                    <xdr:col>8</xdr:col>
                    <xdr:colOff>594360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Salary Structure</vt:lpstr>
      <vt:lpstr>PaySlip</vt:lpstr>
      <vt:lpstr>PaySlip!Print_Area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Seth</dc:creator>
  <cp:lastModifiedBy>Ankit Seth</cp:lastModifiedBy>
  <cp:lastPrinted>2021-06-16T08:32:21Z</cp:lastPrinted>
  <dcterms:created xsi:type="dcterms:W3CDTF">2021-06-14T17:08:47Z</dcterms:created>
  <dcterms:modified xsi:type="dcterms:W3CDTF">2021-06-16T08:46:13Z</dcterms:modified>
</cp:coreProperties>
</file>